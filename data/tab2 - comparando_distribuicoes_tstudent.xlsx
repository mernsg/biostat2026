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uartil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<sst xmlns="http://schemas.openxmlformats.org/spreadsheetml/2006/main" count="20" uniqueCount="20">
  <si>
    <t xml:space="preserve">Indiv.</t>
  </si>
  <si>
    <t xml:space="preserve">peso</t>
  </si>
  <si>
    <t xml:space="preserve">peso_drug1</t>
  </si>
  <si>
    <t xml:space="preserve">peso_drug2</t>
  </si>
  <si>
    <t xml:space="preserve">mode</t>
  </si>
  <si>
    <t xml:space="preserve">One-tail</t>
  </si>
  <si>
    <t xml:space="preserve">Two-tail</t>
  </si>
  <si>
    <t xml:space="preserve">type</t>
  </si>
  <si>
    <t xml:space="preserve">pareado</t>
  </si>
  <si>
    <t xml:space="preserve">variança igual</t>
  </si>
  <si>
    <t xml:space="preserve">variança diferente</t>
  </si>
  <si>
    <t xml:space="preserve">efetio droga 1</t>
  </si>
  <si>
    <t xml:space="preserve">efeito droga 2</t>
  </si>
  <si>
    <t xml:space="preserve">pvalor</t>
  </si>
  <si>
    <t xml:space="preserve">pval &lt; 0.05</t>
  </si>
  <si>
    <t xml:space="preserve">rejeito H0</t>
  </si>
  <si>
    <t xml:space="preserve">distribuições são estatisticamente diferentes</t>
  </si>
  <si>
    <t xml:space="preserve">Pval &gt;= 0.05</t>
  </si>
  <si>
    <t xml:space="preserve">aceito H0</t>
  </si>
  <si>
    <t xml:space="preserve">distribuições são estatisticamente similares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</si>
</sst>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0.00E+00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CC99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2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6" activeCellId="0" sqref="C16"/>
    </sheetView>
  </sheetViews>
  <sheetFormatPr defaultColWidth="12.640625" defaultRowHeight="15" zeroHeight="false" outlineLevelRow="0" outlineLevelCol="0"/>
  <cols>
    <col collapsed="false" customWidth="true" hidden="false" outlineLevel="0" max="2" min="1" style="0" width="8.75"/>
    <col collapsed="false" customWidth="true" hidden="false" outlineLevel="0" max="4" min="3" style="0" width="14.01"/>
    <col collapsed="false" customWidth="true" hidden="false" outlineLevel="0" max="5" min="5" style="0" width="12.75"/>
    <col collapsed="false" customWidth="true" hidden="false" outlineLevel="0" max="7" min="6" style="0" width="8.75"/>
    <col collapsed="false" customWidth="true" hidden="false" outlineLevel="0" max="8" min="8" style="0" width="15.88"/>
  </cols>
  <sheetData>
    <row r="1" customFormat="false" ht="12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75" hidden="false" customHeight="true" outlineLevel="0" collapsed="false">
      <c r="A2" s="2" t="n">
        <v>1</v>
      </c>
      <c r="B2" s="2" t="n">
        <v>56</v>
      </c>
      <c r="C2" s="3" t="n">
        <f aca="false">B2*0.8</f>
        <v>44.8</v>
      </c>
      <c r="D2" s="4" t="n">
        <v>55</v>
      </c>
    </row>
    <row r="3" customFormat="false" ht="12.75" hidden="false" customHeight="true" outlineLevel="0" collapsed="false">
      <c r="A3" s="2" t="n">
        <v>2</v>
      </c>
      <c r="B3" s="2" t="n">
        <v>38</v>
      </c>
      <c r="C3" s="3" t="n">
        <f aca="false">B3*0.8</f>
        <v>30.4</v>
      </c>
      <c r="D3" s="4" t="n">
        <v>38</v>
      </c>
      <c r="F3" s="5" t="s">
        <v>4</v>
      </c>
      <c r="G3" s="5" t="n">
        <v>1</v>
      </c>
      <c r="H3" s="5" t="s">
        <v>5</v>
      </c>
    </row>
    <row r="4" customFormat="false" ht="12.75" hidden="false" customHeight="true" outlineLevel="0" collapsed="false">
      <c r="A4" s="2" t="n">
        <v>3</v>
      </c>
      <c r="B4" s="2" t="n">
        <v>62</v>
      </c>
      <c r="C4" s="3" t="n">
        <f aca="false">B4*0.8</f>
        <v>49.6</v>
      </c>
      <c r="D4" s="4" t="n">
        <f aca="false">B4*1.011</f>
        <v>62.682</v>
      </c>
      <c r="G4" s="5" t="n">
        <v>2</v>
      </c>
      <c r="H4" s="5" t="s">
        <v>6</v>
      </c>
    </row>
    <row r="5" customFormat="false" ht="12.75" hidden="false" customHeight="true" outlineLevel="0" collapsed="false">
      <c r="A5" s="2" t="n">
        <v>4</v>
      </c>
      <c r="B5" s="2" t="n">
        <v>65</v>
      </c>
      <c r="C5" s="3" t="n">
        <f aca="false">B5*0.8</f>
        <v>52</v>
      </c>
      <c r="D5" s="4" t="n">
        <f aca="false">B5*1.011</f>
        <v>65.715</v>
      </c>
    </row>
    <row r="6" customFormat="false" ht="12.75" hidden="false" customHeight="true" outlineLevel="0" collapsed="false">
      <c r="A6" s="2" t="n">
        <v>5</v>
      </c>
      <c r="B6" s="2" t="n">
        <v>70</v>
      </c>
      <c r="C6" s="3" t="n">
        <f aca="false">B6*0.8</f>
        <v>56</v>
      </c>
      <c r="D6" s="4" t="n">
        <v>70.5</v>
      </c>
      <c r="F6" s="5" t="s">
        <v>7</v>
      </c>
      <c r="G6" s="5" t="n">
        <v>1</v>
      </c>
      <c r="H6" s="5" t="s">
        <v>8</v>
      </c>
    </row>
    <row r="7" customFormat="false" ht="12.75" hidden="false" customHeight="true" outlineLevel="0" collapsed="false">
      <c r="A7" s="2" t="n">
        <v>6</v>
      </c>
      <c r="B7" s="2" t="n">
        <v>73</v>
      </c>
      <c r="C7" s="3" t="n">
        <f aca="false">B7*0.8</f>
        <v>58.4</v>
      </c>
      <c r="D7" s="4" t="n">
        <f aca="false">B7*1.011</f>
        <v>73.803</v>
      </c>
      <c r="G7" s="5" t="n">
        <v>2</v>
      </c>
      <c r="H7" s="5" t="s">
        <v>9</v>
      </c>
    </row>
    <row r="8" customFormat="false" ht="12.75" hidden="false" customHeight="true" outlineLevel="0" collapsed="false">
      <c r="A8" s="2" t="n">
        <v>7</v>
      </c>
      <c r="B8" s="2" t="n">
        <v>66</v>
      </c>
      <c r="C8" s="3" t="n">
        <f aca="false">B8*0.8</f>
        <v>52.8</v>
      </c>
      <c r="D8" s="4" t="n">
        <v>53</v>
      </c>
      <c r="G8" s="5" t="n">
        <v>3</v>
      </c>
      <c r="H8" s="5" t="s">
        <v>10</v>
      </c>
    </row>
    <row r="9" customFormat="false" ht="12.75" hidden="false" customHeight="true" outlineLevel="0" collapsed="false">
      <c r="A9" s="2" t="n">
        <v>8</v>
      </c>
      <c r="B9" s="2" t="n">
        <v>56</v>
      </c>
      <c r="C9" s="3" t="n">
        <f aca="false">B9*0.8</f>
        <v>44.8</v>
      </c>
      <c r="D9" s="4" t="n">
        <v>46</v>
      </c>
    </row>
    <row r="10" customFormat="false" ht="12.75" hidden="false" customHeight="true" outlineLevel="0" collapsed="false">
      <c r="A10" s="2" t="n">
        <v>9</v>
      </c>
      <c r="B10" s="2" t="n">
        <v>72</v>
      </c>
      <c r="C10" s="3" t="n">
        <f aca="false">B10*0.8</f>
        <v>57.6</v>
      </c>
      <c r="D10" s="4" t="n">
        <v>55</v>
      </c>
    </row>
    <row r="11" customFormat="false" ht="12.75" hidden="false" customHeight="true" outlineLevel="0" collapsed="false">
      <c r="A11" s="2" t="n">
        <v>10</v>
      </c>
      <c r="B11" s="2" t="n">
        <v>88</v>
      </c>
      <c r="C11" s="3" t="n">
        <f aca="false">B11*0.8</f>
        <v>70.4</v>
      </c>
      <c r="D11" s="4" t="n">
        <v>71</v>
      </c>
    </row>
    <row r="12" customFormat="false" ht="12.75" hidden="false" customHeight="true" outlineLevel="0" collapsed="false">
      <c r="A12" s="2" t="n">
        <v>11</v>
      </c>
      <c r="B12" s="2" t="n">
        <v>90</v>
      </c>
      <c r="C12" s="3" t="n">
        <f aca="false">B12*0.8</f>
        <v>72</v>
      </c>
      <c r="D12" s="4" t="n">
        <v>45</v>
      </c>
    </row>
    <row r="13" customFormat="false" ht="12.75" hidden="false" customHeight="true" outlineLevel="0" collapsed="false">
      <c r="A13" s="2" t="n">
        <v>12</v>
      </c>
      <c r="B13" s="2" t="n">
        <v>67</v>
      </c>
      <c r="C13" s="3" t="n">
        <f aca="false">B13*0.8</f>
        <v>53.6</v>
      </c>
      <c r="D13" s="4" t="n">
        <v>50</v>
      </c>
    </row>
    <row r="17" customFormat="false" ht="12.75" hidden="false" customHeight="true" outlineLevel="0" collapsed="false">
      <c r="B17" s="5" t="s">
        <v>11</v>
      </c>
      <c r="D17" s="6" t="n">
        <f aca="false">TTEST(B2:B13,C2:C13,1,1)</f>
        <v>1.99066291E-009</v>
      </c>
    </row>
    <row r="18" customFormat="false" ht="15" hidden="false" customHeight="false" outlineLevel="0" collapsed="false">
      <c r="B18" s="7" t="s">
        <v>12</v>
      </c>
      <c r="D18" s="6" t="n">
        <f aca="false">TTEST(B2:B13,D2:D13,1,1)</f>
        <v>0.01474075419</v>
      </c>
    </row>
    <row r="20" customFormat="false" ht="12.75" hidden="false" customHeight="true" outlineLevel="0" collapsed="false">
      <c r="B20" s="5" t="s">
        <v>13</v>
      </c>
      <c r="C20" s="5" t="s">
        <v>14</v>
      </c>
      <c r="D20" s="5" t="s">
        <v>15</v>
      </c>
      <c r="E20" s="5" t="s">
        <v>16</v>
      </c>
    </row>
    <row r="21" customFormat="false" ht="12.75" hidden="false" customHeight="true" outlineLevel="0" collapsed="false">
      <c r="C21" s="5" t="s">
        <v>17</v>
      </c>
      <c r="D21" s="5" t="s">
        <v>18</v>
      </c>
      <c r="E21" s="5" t="s">
        <v>19</v>
      </c>
    </row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2.75" hidden="false" customHeight="true" outlineLevel="0" collapsed="false"/>
    <row r="46" customFormat="false" ht="15.75" hidden="false" customHeight="true" outlineLevel="0" collapsed="false"/>
    <row r="47" customFormat="false" ht="12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875" right="0.7875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LibreOffice/6.4.6.2$Linux_X86_64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