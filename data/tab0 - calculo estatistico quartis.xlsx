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i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<sst xmlns="http://schemas.openxmlformats.org/spreadsheetml/2006/main" count="13" uniqueCount="13">
  <si>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Indiv.</t>
  </si>
  <si>
    <t xml:space="preserve">Valor</t>
  </si>
  <si>
    <t xml:space="preserve">Freq</t>
  </si>
  <si>
    <t xml:space="preserve">Freq.Acum.</t>
  </si>
  <si>
    <t xml:space="preserve">Max</t>
  </si>
  <si>
    <t xml:space="preserve">Q3</t>
  </si>
  <si>
    <t xml:space="preserve">Q2</t>
  </si>
  <si>
    <t xml:space="preserve">Q1</t>
  </si>
  <si>
    <t xml:space="preserve">Min</t>
  </si>
  <si>
    <t xml:space="preserve">IIQ</t>
  </si>
  <si>
    <t xml:space="preserve">Total</t>
  </si>
  <si>
    <t xml:space="preserve">ax</t>
  </si>
  <si>
    <t xml:space="preserve">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</si>
</sst>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0%"/>
    <numFmt numFmtId="167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2"/>
      <color rgb="FFFF0000"/>
      <name val="Arial"/>
      <family val="0"/>
    </font>
    <font>
      <b val="true"/>
      <sz val="12"/>
      <color rgb="FF0000FF"/>
      <name val="Arial"/>
      <family val="0"/>
    </font>
    <font>
      <b val="true"/>
      <sz val="12"/>
      <color rgb="FF127622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361800</xdr:colOff>
      <xdr:row>20</xdr:row>
      <xdr:rowOff>47520</xdr:rowOff>
    </xdr:from>
    <xdr:to>
      <xdr:col>5</xdr:col>
      <xdr:colOff>280800</xdr:colOff>
      <xdr:row>21</xdr:row>
      <xdr:rowOff>94680</xdr:rowOff>
    </xdr:to>
    <xdr:sp>
      <xdr:nvSpPr>
        <xdr:cNvPr id="0" name="CustomShape 1"/>
        <xdr:cNvSpPr/>
      </xdr:nvSpPr>
      <xdr:spPr>
        <a:xfrm>
          <a:off x="3572280" y="3285720"/>
          <a:ext cx="818640" cy="20916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36720" rIns="0" tIns="27360" bIns="0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pc="-1" strike="noStrike">
              <a:solidFill>
                <a:srgbClr val="ff0000"/>
              </a:solidFill>
              <a:latin typeface="Arial"/>
              <a:ea typeface="Arial"/>
            </a:rPr>
            <a:t>Q2 50%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361800</xdr:colOff>
      <xdr:row>30</xdr:row>
      <xdr:rowOff>38160</xdr:rowOff>
    </xdr:from>
    <xdr:to>
      <xdr:col>5</xdr:col>
      <xdr:colOff>280800</xdr:colOff>
      <xdr:row>31</xdr:row>
      <xdr:rowOff>85320</xdr:rowOff>
    </xdr:to>
    <xdr:sp>
      <xdr:nvSpPr>
        <xdr:cNvPr id="1" name="CustomShape 1"/>
        <xdr:cNvSpPr/>
      </xdr:nvSpPr>
      <xdr:spPr>
        <a:xfrm>
          <a:off x="3572280" y="4895640"/>
          <a:ext cx="818640" cy="20916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36720" rIns="0" tIns="27360" bIns="0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pc="-1" strike="noStrike">
              <a:solidFill>
                <a:srgbClr val="0000ff"/>
              </a:solidFill>
              <a:latin typeface="Arial"/>
              <a:ea typeface="Arial"/>
            </a:rPr>
            <a:t>Q1 25%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399960</xdr:colOff>
      <xdr:row>10</xdr:row>
      <xdr:rowOff>38160</xdr:rowOff>
    </xdr:from>
    <xdr:to>
      <xdr:col>5</xdr:col>
      <xdr:colOff>318960</xdr:colOff>
      <xdr:row>11</xdr:row>
      <xdr:rowOff>85320</xdr:rowOff>
    </xdr:to>
    <xdr:sp>
      <xdr:nvSpPr>
        <xdr:cNvPr id="2" name="CustomShape 1"/>
        <xdr:cNvSpPr/>
      </xdr:nvSpPr>
      <xdr:spPr>
        <a:xfrm>
          <a:off x="3610440" y="1657080"/>
          <a:ext cx="818640" cy="20916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36720" rIns="0" tIns="27360" bIns="0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pc="-1" strike="noStrike">
              <a:solidFill>
                <a:srgbClr val="127622"/>
              </a:solidFill>
              <a:latin typeface="Arial"/>
              <a:ea typeface="Arial"/>
            </a:rPr>
            <a:t>Q3 75%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200160</xdr:colOff>
      <xdr:row>30</xdr:row>
      <xdr:rowOff>152640</xdr:rowOff>
    </xdr:from>
    <xdr:to>
      <xdr:col>4</xdr:col>
      <xdr:colOff>129240</xdr:colOff>
      <xdr:row>31</xdr:row>
      <xdr:rowOff>10080</xdr:rowOff>
    </xdr:to>
    <xdr:sp>
      <xdr:nvSpPr>
        <xdr:cNvPr id="3" name="CustomShape 1"/>
        <xdr:cNvSpPr/>
      </xdr:nvSpPr>
      <xdr:spPr>
        <a:xfrm>
          <a:off x="1434600" y="5010120"/>
          <a:ext cx="1905120" cy="194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80">
          <a:solidFill>
            <a:srgbClr val="0000ff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266760</xdr:colOff>
      <xdr:row>20</xdr:row>
      <xdr:rowOff>152640</xdr:rowOff>
    </xdr:from>
    <xdr:to>
      <xdr:col>4</xdr:col>
      <xdr:colOff>149040</xdr:colOff>
      <xdr:row>20</xdr:row>
      <xdr:rowOff>162360</xdr:rowOff>
    </xdr:to>
    <xdr:sp>
      <xdr:nvSpPr>
        <xdr:cNvPr id="4" name="CustomShape 1"/>
        <xdr:cNvSpPr/>
      </xdr:nvSpPr>
      <xdr:spPr>
        <a:xfrm>
          <a:off x="1501200" y="3390840"/>
          <a:ext cx="1858320" cy="97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80">
          <a:solidFill>
            <a:srgbClr val="ff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317520</xdr:colOff>
      <xdr:row>10</xdr:row>
      <xdr:rowOff>114480</xdr:rowOff>
    </xdr:from>
    <xdr:to>
      <xdr:col>4</xdr:col>
      <xdr:colOff>317880</xdr:colOff>
      <xdr:row>10</xdr:row>
      <xdr:rowOff>162360</xdr:rowOff>
    </xdr:to>
    <xdr:sp>
      <xdr:nvSpPr>
        <xdr:cNvPr id="5" name="CustomShape 1"/>
        <xdr:cNvSpPr/>
      </xdr:nvSpPr>
      <xdr:spPr>
        <a:xfrm>
          <a:off x="1551960" y="1733400"/>
          <a:ext cx="1976400" cy="47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80">
          <a:solidFill>
            <a:srgbClr val="339966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G13" activeCellId="0" sqref="G13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8.75"/>
    <col collapsed="false" customWidth="true" hidden="false" outlineLevel="0" max="4" min="3" style="0" width="14.01"/>
    <col collapsed="false" customWidth="true" hidden="false" outlineLevel="0" max="5" min="5" style="0" width="12.75"/>
    <col collapsed="false" customWidth="true" hidden="false" outlineLevel="0" max="10" min="6" style="0" width="8.75"/>
    <col collapsed="false" customWidth="true" hidden="false" outlineLevel="0" max="11" min="11" style="0" width="11.25"/>
    <col collapsed="false" customWidth="true" hidden="false" outlineLevel="0" max="14" min="12" style="0" width="8.75"/>
    <col collapsed="false" customWidth="true" hidden="false" outlineLevel="0" max="15" min="15" style="0" width="14.75"/>
    <col collapsed="false" customWidth="true" hidden="false" outlineLevel="0" max="26" min="16" style="0" width="8.7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2" t="n">
        <v>40</v>
      </c>
      <c r="B2" s="2" t="n">
        <v>491</v>
      </c>
      <c r="C2" s="3" t="n">
        <f aca="false">B2/$B$42</f>
        <v>0.0711697347441658</v>
      </c>
      <c r="D2" s="4" t="n">
        <f aca="false">D3+C2</f>
        <v>1</v>
      </c>
    </row>
    <row r="3" customFormat="false" ht="12.75" hidden="false" customHeight="true" outlineLevel="0" collapsed="false">
      <c r="A3" s="2" t="n">
        <v>39</v>
      </c>
      <c r="B3" s="2" t="n">
        <v>477</v>
      </c>
      <c r="C3" s="3" t="n">
        <f aca="false">B3/$B$42</f>
        <v>0.0691404551384259</v>
      </c>
      <c r="D3" s="4" t="n">
        <f aca="false">D4+C3</f>
        <v>0.928830265255834</v>
      </c>
    </row>
    <row r="4" customFormat="false" ht="12.75" hidden="false" customHeight="true" outlineLevel="0" collapsed="false">
      <c r="A4" s="2" t="n">
        <v>38</v>
      </c>
      <c r="B4" s="2" t="n">
        <v>313</v>
      </c>
      <c r="C4" s="3" t="n">
        <f aca="false">B4/$B$42</f>
        <v>0.0453688940426149</v>
      </c>
      <c r="D4" s="4" t="n">
        <f aca="false">D5+C4</f>
        <v>0.859689810117408</v>
      </c>
    </row>
    <row r="5" customFormat="false" ht="12.75" hidden="false" customHeight="true" outlineLevel="0" collapsed="false">
      <c r="A5" s="2" t="n">
        <v>37</v>
      </c>
      <c r="B5" s="2" t="n">
        <v>290</v>
      </c>
      <c r="C5" s="3" t="n">
        <f aca="false">B5/$B$42</f>
        <v>0.0420350775474707</v>
      </c>
      <c r="D5" s="4" t="n">
        <f aca="false">D6+C5</f>
        <v>0.814320916074793</v>
      </c>
    </row>
    <row r="6" customFormat="false" ht="12.75" hidden="false" customHeight="true" outlineLevel="0" collapsed="false">
      <c r="A6" s="2" t="n">
        <v>36</v>
      </c>
      <c r="B6" s="2" t="n">
        <v>289</v>
      </c>
      <c r="C6" s="3" t="n">
        <f aca="false">B6/$B$42</f>
        <v>0.0418901290042035</v>
      </c>
      <c r="D6" s="4" t="n">
        <f aca="false">D7+C6</f>
        <v>0.772285838527323</v>
      </c>
    </row>
    <row r="7" customFormat="false" ht="12.75" hidden="false" customHeight="true" outlineLevel="0" collapsed="false">
      <c r="A7" s="2" t="n">
        <v>35</v>
      </c>
      <c r="B7" s="2" t="n">
        <v>284</v>
      </c>
      <c r="C7" s="3" t="n">
        <f aca="false">B7/$B$42</f>
        <v>0.0411653862878678</v>
      </c>
      <c r="D7" s="4" t="n">
        <f aca="false">D8+C7</f>
        <v>0.730395709523119</v>
      </c>
    </row>
    <row r="8" customFormat="false" ht="12.75" hidden="false" customHeight="true" outlineLevel="0" collapsed="false">
      <c r="A8" s="2" t="n">
        <v>34</v>
      </c>
      <c r="B8" s="2" t="n">
        <v>277</v>
      </c>
      <c r="C8" s="3" t="n">
        <f aca="false">B8/$B$42</f>
        <v>0.0401507464849978</v>
      </c>
      <c r="D8" s="4" t="n">
        <f aca="false">D9+C8</f>
        <v>0.689230323235252</v>
      </c>
    </row>
    <row r="9" customFormat="false" ht="12.75" hidden="false" customHeight="true" outlineLevel="0" collapsed="false">
      <c r="A9" s="2" t="n">
        <v>33</v>
      </c>
      <c r="B9" s="2" t="n">
        <v>266</v>
      </c>
      <c r="C9" s="3" t="n">
        <f aca="false">B9/$B$42</f>
        <v>0.0385563125090593</v>
      </c>
      <c r="D9" s="4" t="n">
        <f aca="false">D10+C9</f>
        <v>0.649079576750254</v>
      </c>
    </row>
    <row r="10" customFormat="false" ht="12.75" hidden="false" customHeight="true" outlineLevel="0" collapsed="false">
      <c r="A10" s="2" t="n">
        <v>32</v>
      </c>
      <c r="B10" s="2" t="n">
        <v>265</v>
      </c>
      <c r="C10" s="3" t="n">
        <f aca="false">B10/$B$42</f>
        <v>0.0384113639657921</v>
      </c>
      <c r="D10" s="4" t="n">
        <f aca="false">D11+C10</f>
        <v>0.610523264241194</v>
      </c>
    </row>
    <row r="11" customFormat="false" ht="12.75" hidden="false" customHeight="true" outlineLevel="0" collapsed="false">
      <c r="A11" s="2" t="n">
        <v>31</v>
      </c>
      <c r="B11" s="2" t="n">
        <v>253</v>
      </c>
      <c r="C11" s="3" t="n">
        <f aca="false">B11/$B$42</f>
        <v>0.0366719814465865</v>
      </c>
      <c r="D11" s="4" t="n">
        <f aca="false">D12+C11</f>
        <v>0.572111900275402</v>
      </c>
    </row>
    <row r="12" customFormat="false" ht="12.75" hidden="false" customHeight="true" outlineLevel="0" collapsed="false">
      <c r="A12" s="2" t="n">
        <v>30</v>
      </c>
      <c r="B12" s="2" t="n">
        <v>250</v>
      </c>
      <c r="C12" s="3" t="n">
        <f aca="false">B12/$B$42</f>
        <v>0.036237135816785</v>
      </c>
      <c r="D12" s="4" t="n">
        <f aca="false">D13+C12</f>
        <v>0.535439918828816</v>
      </c>
    </row>
    <row r="13" customFormat="false" ht="12.75" hidden="false" customHeight="true" outlineLevel="0" collapsed="false">
      <c r="A13" s="2" t="n">
        <v>29</v>
      </c>
      <c r="B13" s="2" t="n">
        <v>245</v>
      </c>
      <c r="C13" s="3" t="n">
        <f aca="false">B13/$B$42</f>
        <v>0.0355123931004493</v>
      </c>
      <c r="D13" s="4" t="n">
        <f aca="false">D14+C13</f>
        <v>0.499202783012031</v>
      </c>
    </row>
    <row r="14" customFormat="false" ht="12.75" hidden="false" customHeight="true" outlineLevel="0" collapsed="false">
      <c r="A14" s="2" t="n">
        <v>28</v>
      </c>
      <c r="B14" s="2" t="n">
        <v>234</v>
      </c>
      <c r="C14" s="3" t="n">
        <f aca="false">B14/$B$42</f>
        <v>0.0339179591245108</v>
      </c>
      <c r="D14" s="4" t="n">
        <f aca="false">D15+C14</f>
        <v>0.463690389911581</v>
      </c>
    </row>
    <row r="15" customFormat="false" ht="12.75" hidden="false" customHeight="true" outlineLevel="0" collapsed="false">
      <c r="A15" s="2" t="n">
        <v>27</v>
      </c>
      <c r="B15" s="2" t="n">
        <v>227</v>
      </c>
      <c r="C15" s="3" t="n">
        <f aca="false">B15/$B$42</f>
        <v>0.0329033193216408</v>
      </c>
      <c r="D15" s="4" t="n">
        <f aca="false">D16+C15</f>
        <v>0.429772430787071</v>
      </c>
    </row>
    <row r="16" customFormat="false" ht="12.75" hidden="false" customHeight="true" outlineLevel="0" collapsed="false">
      <c r="A16" s="2" t="n">
        <v>26</v>
      </c>
      <c r="B16" s="2" t="n">
        <v>222</v>
      </c>
      <c r="C16" s="3" t="n">
        <f aca="false">B16/$B$42</f>
        <v>0.0321785766053051</v>
      </c>
      <c r="D16" s="4" t="n">
        <f aca="false">D17+C16</f>
        <v>0.39686911146543</v>
      </c>
    </row>
    <row r="17" customFormat="false" ht="12.75" hidden="false" customHeight="true" outlineLevel="0" collapsed="false">
      <c r="A17" s="2" t="n">
        <v>25</v>
      </c>
      <c r="B17" s="2" t="n">
        <v>210</v>
      </c>
      <c r="C17" s="3" t="n">
        <f aca="false">B17/$B$42</f>
        <v>0.0304391940860994</v>
      </c>
      <c r="D17" s="4" t="n">
        <f aca="false">D18+C17</f>
        <v>0.364690534860125</v>
      </c>
    </row>
    <row r="18" customFormat="false" ht="12.75" hidden="false" customHeight="true" outlineLevel="0" collapsed="false">
      <c r="A18" s="2" t="n">
        <v>24</v>
      </c>
      <c r="B18" s="2" t="n">
        <v>208</v>
      </c>
      <c r="C18" s="3" t="n">
        <f aca="false">B18/$B$42</f>
        <v>0.0301492969995652</v>
      </c>
      <c r="D18" s="4" t="n">
        <f aca="false">D19+C18</f>
        <v>0.334251340774025</v>
      </c>
      <c r="F18" s="5" t="s">
        <v>4</v>
      </c>
      <c r="G18" s="6" t="n">
        <f aca="false">G19+1.5*G26</f>
        <v>0</v>
      </c>
    </row>
    <row r="19" customFormat="false" ht="12.75" hidden="false" customHeight="true" outlineLevel="0" collapsed="false">
      <c r="A19" s="2" t="n">
        <v>23</v>
      </c>
      <c r="B19" s="2" t="n">
        <v>198</v>
      </c>
      <c r="C19" s="3" t="n">
        <f aca="false">B19/$B$42</f>
        <v>0.0286998115668938</v>
      </c>
      <c r="D19" s="4" t="n">
        <f aca="false">D20+C19</f>
        <v>0.30410204377446</v>
      </c>
      <c r="F19" s="5"/>
    </row>
    <row r="20" customFormat="false" ht="12.75" hidden="false" customHeight="true" outlineLevel="0" collapsed="false">
      <c r="A20" s="2" t="n">
        <v>22</v>
      </c>
      <c r="B20" s="2" t="n">
        <v>173</v>
      </c>
      <c r="C20" s="3" t="n">
        <f aca="false">B20/$B$42</f>
        <v>0.0250760979852152</v>
      </c>
      <c r="D20" s="4" t="n">
        <f aca="false">D21+C20</f>
        <v>0.275402232207566</v>
      </c>
      <c r="F20" s="5" t="s">
        <v>5</v>
      </c>
      <c r="G20" s="6" t="n">
        <v>284</v>
      </c>
    </row>
    <row r="21" customFormat="false" ht="12.75" hidden="false" customHeight="true" outlineLevel="0" collapsed="false">
      <c r="A21" s="2" t="n">
        <v>21</v>
      </c>
      <c r="B21" s="2" t="n">
        <v>173</v>
      </c>
      <c r="C21" s="3" t="n">
        <f aca="false">B21/$B$42</f>
        <v>0.0250760979852152</v>
      </c>
      <c r="D21" s="4" t="n">
        <f aca="false">D22+C21</f>
        <v>0.250326134222351</v>
      </c>
      <c r="F21" s="5" t="s">
        <v>6</v>
      </c>
      <c r="G21" s="6" t="n">
        <v>245</v>
      </c>
    </row>
    <row r="22" customFormat="false" ht="12.75" hidden="false" customHeight="true" outlineLevel="0" collapsed="false">
      <c r="A22" s="2" t="n">
        <v>20</v>
      </c>
      <c r="B22" s="2" t="n">
        <v>167</v>
      </c>
      <c r="C22" s="3" t="n">
        <f aca="false">B22/$B$42</f>
        <v>0.0242064067256124</v>
      </c>
      <c r="D22" s="4" t="n">
        <f aca="false">D23+C22</f>
        <v>0.225250036237136</v>
      </c>
      <c r="F22" s="5" t="s">
        <v>7</v>
      </c>
      <c r="G22" s="6" t="n">
        <v>173</v>
      </c>
    </row>
    <row r="23" customFormat="false" ht="12.75" hidden="false" customHeight="true" outlineLevel="0" collapsed="false">
      <c r="A23" s="2" t="n">
        <v>19</v>
      </c>
      <c r="B23" s="2" t="n">
        <v>164</v>
      </c>
      <c r="C23" s="3" t="n">
        <f aca="false">B23/$B$42</f>
        <v>0.023771561095811</v>
      </c>
      <c r="D23" s="4" t="n">
        <f aca="false">D24+C23</f>
        <v>0.201043629511523</v>
      </c>
      <c r="F23" s="5"/>
    </row>
    <row r="24" customFormat="false" ht="12.75" hidden="false" customHeight="true" outlineLevel="0" collapsed="false">
      <c r="A24" s="2" t="n">
        <v>18</v>
      </c>
      <c r="B24" s="2" t="n">
        <v>149</v>
      </c>
      <c r="C24" s="3" t="n">
        <f aca="false">B24/$B$42</f>
        <v>0.0215973329468039</v>
      </c>
      <c r="D24" s="4" t="n">
        <f aca="false">D25+C24</f>
        <v>0.177272068415712</v>
      </c>
      <c r="F24" s="5"/>
    </row>
    <row r="25" customFormat="false" ht="12.75" hidden="false" customHeight="true" outlineLevel="0" collapsed="false">
      <c r="A25" s="2" t="n">
        <v>17</v>
      </c>
      <c r="B25" s="2" t="n">
        <v>131</v>
      </c>
      <c r="C25" s="3" t="n">
        <f aca="false">B25/$B$42</f>
        <v>0.0189882591679954</v>
      </c>
      <c r="D25" s="4" t="n">
        <f aca="false">D26+C25</f>
        <v>0.155674735468909</v>
      </c>
      <c r="F25" s="5" t="s">
        <v>8</v>
      </c>
      <c r="G25" s="6" t="n">
        <f aca="false">G21-1.5*G26</f>
        <v>245</v>
      </c>
    </row>
    <row r="26" customFormat="false" ht="12.75" hidden="false" customHeight="true" outlineLevel="0" collapsed="false">
      <c r="A26" s="2" t="n">
        <v>16</v>
      </c>
      <c r="B26" s="2" t="n">
        <v>130</v>
      </c>
      <c r="C26" s="3" t="n">
        <f aca="false">B26/$B$42</f>
        <v>0.0188433106247282</v>
      </c>
      <c r="D26" s="4" t="n">
        <f aca="false">D27+C26</f>
        <v>0.136686476300913</v>
      </c>
      <c r="F26" s="5"/>
    </row>
    <row r="27" customFormat="false" ht="12.75" hidden="false" customHeight="true" outlineLevel="0" collapsed="false">
      <c r="A27" s="2" t="n">
        <v>15</v>
      </c>
      <c r="B27" s="2" t="n">
        <v>123</v>
      </c>
      <c r="C27" s="3" t="n">
        <f aca="false">B27/$B$42</f>
        <v>0.0178286708218582</v>
      </c>
      <c r="D27" s="4" t="n">
        <f aca="false">D28+C27</f>
        <v>0.117843165676185</v>
      </c>
      <c r="F27" s="5" t="s">
        <v>9</v>
      </c>
      <c r="G27" s="6" t="n">
        <f aca="false">G19-G21</f>
        <v>-245</v>
      </c>
    </row>
    <row r="28" customFormat="false" ht="12.75" hidden="false" customHeight="true" outlineLevel="0" collapsed="false">
      <c r="A28" s="2" t="n">
        <v>14</v>
      </c>
      <c r="B28" s="2" t="n">
        <v>121</v>
      </c>
      <c r="C28" s="3" t="n">
        <f aca="false">B28/$B$42</f>
        <v>0.017538773735324</v>
      </c>
      <c r="D28" s="4" t="n">
        <f aca="false">D29+C28</f>
        <v>0.100014494854327</v>
      </c>
    </row>
    <row r="29" customFormat="false" ht="12.75" hidden="false" customHeight="true" outlineLevel="0" collapsed="false">
      <c r="A29" s="2" t="n">
        <v>13</v>
      </c>
      <c r="B29" s="2" t="n">
        <v>112</v>
      </c>
      <c r="C29" s="3" t="n">
        <f aca="false">B29/$B$42</f>
        <v>0.0162342368459197</v>
      </c>
      <c r="D29" s="4" t="n">
        <f aca="false">D30+C29</f>
        <v>0.0824757211190028</v>
      </c>
    </row>
    <row r="30" customFormat="false" ht="12.75" hidden="false" customHeight="true" outlineLevel="0" collapsed="false">
      <c r="A30" s="2" t="n">
        <v>12</v>
      </c>
      <c r="B30" s="2" t="n">
        <v>103</v>
      </c>
      <c r="C30" s="3" t="n">
        <f aca="false">B30/$B$42</f>
        <v>0.0149296999565154</v>
      </c>
      <c r="D30" s="4" t="n">
        <f aca="false">D31+C30</f>
        <v>0.0662414842730831</v>
      </c>
    </row>
    <row r="31" customFormat="false" ht="12.75" hidden="false" customHeight="true" outlineLevel="0" collapsed="false">
      <c r="A31" s="2" t="n">
        <v>11</v>
      </c>
      <c r="B31" s="2" t="n">
        <v>87</v>
      </c>
      <c r="C31" s="3" t="n">
        <f aca="false">B31/$B$42</f>
        <v>0.0126105232642412</v>
      </c>
      <c r="D31" s="4" t="n">
        <f aca="false">D32+C31</f>
        <v>0.0513117843165676</v>
      </c>
    </row>
    <row r="32" customFormat="false" ht="12.75" hidden="false" customHeight="true" outlineLevel="0" collapsed="false">
      <c r="A32" s="2" t="n">
        <v>10</v>
      </c>
      <c r="B32" s="2" t="n">
        <v>86</v>
      </c>
      <c r="C32" s="3" t="n">
        <f aca="false">B32/$B$42</f>
        <v>0.0124655747209741</v>
      </c>
      <c r="D32" s="4" t="n">
        <f aca="false">D33+C32</f>
        <v>0.0387012610523264</v>
      </c>
    </row>
    <row r="33" customFormat="false" ht="12.75" hidden="false" customHeight="true" outlineLevel="0" collapsed="false">
      <c r="A33" s="2" t="n">
        <v>9</v>
      </c>
      <c r="B33" s="2" t="n">
        <v>48</v>
      </c>
      <c r="C33" s="3" t="n">
        <f aca="false">B33/$B$42</f>
        <v>0.00695753007682273</v>
      </c>
      <c r="D33" s="4" t="n">
        <f aca="false">D34+C33</f>
        <v>0.0262356863313524</v>
      </c>
    </row>
    <row r="34" customFormat="false" ht="12.75" hidden="false" customHeight="true" outlineLevel="0" collapsed="false">
      <c r="A34" s="2" t="n">
        <v>8</v>
      </c>
      <c r="B34" s="2" t="n">
        <v>44</v>
      </c>
      <c r="C34" s="3" t="n">
        <f aca="false">B34/$B$42</f>
        <v>0.00637773590375417</v>
      </c>
      <c r="D34" s="4" t="n">
        <f aca="false">D35+C34</f>
        <v>0.0192781562545296</v>
      </c>
    </row>
    <row r="35" customFormat="false" ht="12.75" hidden="false" customHeight="true" outlineLevel="0" collapsed="false">
      <c r="A35" s="2" t="n">
        <v>7</v>
      </c>
      <c r="B35" s="2" t="n">
        <v>35</v>
      </c>
      <c r="C35" s="3" t="n">
        <f aca="false">B35/$B$42</f>
        <v>0.00507319901434991</v>
      </c>
      <c r="D35" s="4" t="n">
        <f aca="false">D36+C35</f>
        <v>0.0129004203507755</v>
      </c>
    </row>
    <row r="36" customFormat="false" ht="12.75" hidden="false" customHeight="true" outlineLevel="0" collapsed="false">
      <c r="A36" s="2" t="n">
        <v>6</v>
      </c>
      <c r="B36" s="2" t="n">
        <v>32</v>
      </c>
      <c r="C36" s="3" t="n">
        <f aca="false">B36/$B$42</f>
        <v>0.00463835338454849</v>
      </c>
      <c r="D36" s="4" t="n">
        <f aca="false">D37+C36</f>
        <v>0.00782722133642557</v>
      </c>
    </row>
    <row r="37" customFormat="false" ht="12.75" hidden="false" customHeight="true" outlineLevel="0" collapsed="false">
      <c r="A37" s="2" t="n">
        <v>5</v>
      </c>
      <c r="B37" s="2" t="n">
        <v>17</v>
      </c>
      <c r="C37" s="3" t="n">
        <f aca="false">B37/$B$42</f>
        <v>0.00246412523554138</v>
      </c>
      <c r="D37" s="4" t="n">
        <f aca="false">D38+C37</f>
        <v>0.00318886795187708</v>
      </c>
    </row>
    <row r="38" customFormat="false" ht="12.75" hidden="false" customHeight="true" outlineLevel="0" collapsed="false">
      <c r="A38" s="2" t="n">
        <v>4</v>
      </c>
      <c r="B38" s="2" t="n">
        <v>3</v>
      </c>
      <c r="C38" s="3" t="n">
        <f aca="false">B38/$B$42</f>
        <v>0.000434845629801421</v>
      </c>
      <c r="D38" s="4" t="n">
        <f aca="false">D39+C38</f>
        <v>0.000724742716335701</v>
      </c>
    </row>
    <row r="39" customFormat="false" ht="12.75" hidden="false" customHeight="true" outlineLevel="0" collapsed="false">
      <c r="A39" s="2" t="n">
        <v>3</v>
      </c>
      <c r="B39" s="2" t="n">
        <v>1</v>
      </c>
      <c r="C39" s="3" t="n">
        <f aca="false">B39/$B$42</f>
        <v>0.00014494854326714</v>
      </c>
      <c r="D39" s="4" t="n">
        <f aca="false">D40+C39</f>
        <v>0.00028989708653428</v>
      </c>
    </row>
    <row r="40" customFormat="false" ht="12.75" hidden="false" customHeight="true" outlineLevel="0" collapsed="false">
      <c r="A40" s="2" t="n">
        <v>2</v>
      </c>
      <c r="B40" s="2" t="n">
        <v>1</v>
      </c>
      <c r="C40" s="3" t="n">
        <f aca="false">B40/$B$42</f>
        <v>0.00014494854326714</v>
      </c>
      <c r="D40" s="4" t="n">
        <f aca="false">D41+C40</f>
        <v>0.00014494854326714</v>
      </c>
    </row>
    <row r="41" customFormat="false" ht="12.75" hidden="false" customHeight="true" outlineLevel="0" collapsed="false">
      <c r="A41" s="2" t="n">
        <v>1</v>
      </c>
      <c r="B41" s="2" t="n">
        <v>0</v>
      </c>
      <c r="C41" s="3" t="n">
        <f aca="false">B41/$B$42</f>
        <v>0</v>
      </c>
      <c r="D41" s="4" t="n">
        <f aca="false">C41</f>
        <v>0</v>
      </c>
    </row>
    <row r="42" customFormat="false" ht="12.75" hidden="false" customHeight="true" outlineLevel="0" collapsed="false">
      <c r="A42" s="2" t="s">
        <v>10</v>
      </c>
      <c r="B42" s="2" t="n">
        <f aca="false">SUM(B2:B41)</f>
        <v>6899</v>
      </c>
      <c r="C42" s="3" t="n">
        <f aca="false">SUM(C2:C41)</f>
        <v>1</v>
      </c>
      <c r="D42" s="2"/>
    </row>
    <row r="56" customFormat="false" ht="12.75" hidden="false" customHeight="true" outlineLevel="0" collapsed="false">
      <c r="M56" s="5" t="s">
        <v>11</v>
      </c>
      <c r="O56" s="5" t="s">
        <v>12</v>
      </c>
    </row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2022-04-25T20:38:55Z</dcterms:modified>
  <cp:revision>1</cp:revision>
  <dc:subject/>
  <dc:title/>
</cp:coreProperties>
</file>