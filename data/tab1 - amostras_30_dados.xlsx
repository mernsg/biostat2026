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a_desvio_padrao" sheetId="1" state="visible" r:id="rId2"/>
    <sheet name="mediana" sheetId="2" state="visible" r:id="rId3"/>
    <sheet name="graf frequencia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<sst xmlns="http://schemas.openxmlformats.org/spreadsheetml/2006/main" count="15" uniqueCount="11">
  <si>
    <t xml:space="preserve">num</t>
  </si>
  <si>
    <t xml:space="preserve">valor</t>
  </si>
  <si>
    <t xml:space="preserve">X – media</t>
  </si>
  <si>
    <t xml:space="preserve">(x-media)**2</t>
  </si>
  <si>
    <t xml:space="preserve">Var = soma (x-media)**2/n</t>
  </si>
  <si>
    <t xml:space="preserve">total</t>
  </si>
  <si>
    <t xml:space="preserve">media</t>
  </si>
  <si>
    <t xml:space="preserve">SD</t>
  </si>
  <si>
    <t xml:space="preserve">median</t>
  </si>
  <si>
    <t xml:space="preserve">classe</t>
  </si>
  <si>
    <t xml:space="preserve">freq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</si>
</sst>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"/>
    <numFmt numFmtId="166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frequencia ~ amostra dist normal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'graf frequencia'!$E$1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'graf frequencia'!$E$2:$E$10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gapWidth val="100"/>
        <c:overlap val="0"/>
        <c:axId val="83885984"/>
        <c:axId val="30195685"/>
      </c:barChart>
      <c:catAx>
        <c:axId val="8388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195685"/>
        <c:crosses val="autoZero"/>
        <c:auto val="1"/>
        <c:lblAlgn val="ctr"/>
        <c:lblOffset val="100"/>
        <c:noMultiLvlLbl val="0"/>
      </c:catAx>
      <c:valAx>
        <c:axId val="3019568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885984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79200</xdr:colOff>
      <xdr:row>3</xdr:row>
      <xdr:rowOff>124560</xdr:rowOff>
    </xdr:from>
    <xdr:to>
      <xdr:col>15</xdr:col>
      <xdr:colOff>148680</xdr:colOff>
      <xdr:row>23</xdr:row>
      <xdr:rowOff>114840</xdr:rowOff>
    </xdr:to>
    <xdr:graphicFrame>
      <xdr:nvGraphicFramePr>
        <xdr:cNvPr id="0" name=""/>
        <xdr:cNvGraphicFramePr/>
      </xdr:nvGraphicFramePr>
      <xdr:xfrm>
        <a:off x="6581520" y="61200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25"/>
    <col collapsed="false" customWidth="true" hidden="false" outlineLevel="0" max="2" min="2" style="0" width="16.71"/>
    <col collapsed="false" customWidth="true" hidden="false" outlineLevel="0" max="5" min="5" style="0" width="20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0</v>
      </c>
      <c r="B2" s="1" t="n">
        <v>17.3727916032022</v>
      </c>
      <c r="C2" s="1" t="n">
        <f aca="false">B2-$B$33</f>
        <v>-3.01952450255575</v>
      </c>
      <c r="D2" s="1" t="n">
        <f aca="false">C2*C2</f>
        <v>9.11752822153453</v>
      </c>
      <c r="E2" s="2" t="n">
        <f aca="false">D2/30</f>
        <v>0.303917607384484</v>
      </c>
    </row>
    <row r="3" customFormat="false" ht="12.8" hidden="false" customHeight="false" outlineLevel="0" collapsed="false">
      <c r="A3" s="0" t="n">
        <v>1</v>
      </c>
      <c r="B3" s="1" t="n">
        <v>22.8933452166876</v>
      </c>
      <c r="C3" s="1" t="n">
        <f aca="false">B3-$B$33</f>
        <v>2.50102911092972</v>
      </c>
      <c r="D3" s="1" t="n">
        <f aca="false">C3*C3</f>
        <v>6.25514661371791</v>
      </c>
      <c r="E3" s="2" t="n">
        <f aca="false">D3/30</f>
        <v>0.20850488712393</v>
      </c>
    </row>
    <row r="4" customFormat="false" ht="12.8" hidden="false" customHeight="false" outlineLevel="0" collapsed="false">
      <c r="A4" s="0" t="n">
        <v>2</v>
      </c>
      <c r="B4" s="1" t="n">
        <v>21.6574433820916</v>
      </c>
      <c r="C4" s="1" t="n">
        <f aca="false">B4-$B$33</f>
        <v>1.26512727633368</v>
      </c>
      <c r="D4" s="1" t="n">
        <f aca="false">C4*C4</f>
        <v>1.60054702532348</v>
      </c>
      <c r="E4" s="2" t="n">
        <f aca="false">D4/30</f>
        <v>0.0533515675107828</v>
      </c>
    </row>
    <row r="5" customFormat="false" ht="12.8" hidden="false" customHeight="false" outlineLevel="0" collapsed="false">
      <c r="A5" s="0" t="n">
        <v>3</v>
      </c>
      <c r="B5" s="1" t="n">
        <v>24.0218519053715</v>
      </c>
      <c r="C5" s="1" t="n">
        <f aca="false">B5-$B$33</f>
        <v>3.62953579961354</v>
      </c>
      <c r="D5" s="1" t="n">
        <f aca="false">C5*C5</f>
        <v>13.1735301206763</v>
      </c>
      <c r="E5" s="2" t="n">
        <f aca="false">D5/30</f>
        <v>0.43911767068921</v>
      </c>
    </row>
    <row r="6" customFormat="false" ht="12.8" hidden="false" customHeight="false" outlineLevel="0" collapsed="false">
      <c r="A6" s="0" t="n">
        <v>4</v>
      </c>
      <c r="B6" s="1" t="n">
        <v>18.2526076780458</v>
      </c>
      <c r="C6" s="1" t="n">
        <f aca="false">B6-$B$33</f>
        <v>-2.1397084277121</v>
      </c>
      <c r="D6" s="1" t="n">
        <f aca="false">C6*C6</f>
        <v>4.57835215562219</v>
      </c>
      <c r="E6" s="2" t="n">
        <f aca="false">D6/30</f>
        <v>0.15261173852074</v>
      </c>
    </row>
    <row r="7" customFormat="false" ht="12.8" hidden="false" customHeight="false" outlineLevel="0" collapsed="false">
      <c r="A7" s="0" t="n">
        <v>5</v>
      </c>
      <c r="B7" s="1" t="n">
        <v>19.7546715517364</v>
      </c>
      <c r="C7" s="1" t="n">
        <f aca="false">B7-$B$33</f>
        <v>-0.637644554021481</v>
      </c>
      <c r="D7" s="1" t="n">
        <f aca="false">C7*C7</f>
        <v>0.406590577273253</v>
      </c>
      <c r="E7" s="2" t="n">
        <f aca="false">D7/30</f>
        <v>0.0135530192424418</v>
      </c>
    </row>
    <row r="8" customFormat="false" ht="12.8" hidden="false" customHeight="false" outlineLevel="0" collapsed="false">
      <c r="A8" s="0" t="n">
        <v>6</v>
      </c>
      <c r="B8" s="1" t="n">
        <v>20.7791001898015</v>
      </c>
      <c r="C8" s="1" t="n">
        <f aca="false">B8-$B$33</f>
        <v>0.386784084043601</v>
      </c>
      <c r="D8" s="1" t="n">
        <f aca="false">C8*C8</f>
        <v>0.149601927669447</v>
      </c>
      <c r="E8" s="2" t="n">
        <f aca="false">D8/30</f>
        <v>0.00498673092231491</v>
      </c>
    </row>
    <row r="9" customFormat="false" ht="12.8" hidden="false" customHeight="false" outlineLevel="0" collapsed="false">
      <c r="A9" s="0" t="n">
        <v>7</v>
      </c>
      <c r="B9" s="1" t="n">
        <v>21.195854415671</v>
      </c>
      <c r="C9" s="1" t="n">
        <f aca="false">B9-$B$33</f>
        <v>0.803538309913051</v>
      </c>
      <c r="D9" s="1" t="n">
        <f aca="false">C9*C9</f>
        <v>0.645673815497923</v>
      </c>
      <c r="E9" s="2" t="n">
        <f aca="false">D9/30</f>
        <v>0.0215224605165974</v>
      </c>
    </row>
    <row r="10" customFormat="false" ht="12.8" hidden="false" customHeight="false" outlineLevel="0" collapsed="false">
      <c r="A10" s="0" t="n">
        <v>8</v>
      </c>
      <c r="B10" s="1" t="n">
        <v>19.3971276761549</v>
      </c>
      <c r="C10" s="1" t="n">
        <f aca="false">B10-$B$33</f>
        <v>-0.995188429602976</v>
      </c>
      <c r="D10" s="1" t="n">
        <f aca="false">C10*C10</f>
        <v>0.990400010415638</v>
      </c>
      <c r="E10" s="2" t="n">
        <f aca="false">D10/30</f>
        <v>0.0330133336805213</v>
      </c>
    </row>
    <row r="11" customFormat="false" ht="12.8" hidden="false" customHeight="false" outlineLevel="0" collapsed="false">
      <c r="A11" s="0" t="n">
        <v>9</v>
      </c>
      <c r="B11" s="1" t="n">
        <v>18.2843989309581</v>
      </c>
      <c r="C11" s="1" t="n">
        <f aca="false">B11-$B$33</f>
        <v>-2.10791717479978</v>
      </c>
      <c r="D11" s="1" t="n">
        <f aca="false">C11*C11</f>
        <v>4.44331481581587</v>
      </c>
      <c r="E11" s="2" t="n">
        <f aca="false">D11/30</f>
        <v>0.148110493860529</v>
      </c>
    </row>
    <row r="12" customFormat="false" ht="12.8" hidden="false" customHeight="false" outlineLevel="0" collapsed="false">
      <c r="A12" s="0" t="n">
        <v>10</v>
      </c>
      <c r="B12" s="1" t="n">
        <v>20.4292588401686</v>
      </c>
      <c r="C12" s="1" t="n">
        <f aca="false">B12-$B$33</f>
        <v>0.0369427344106654</v>
      </c>
      <c r="D12" s="1" t="n">
        <f aca="false">C12*C12</f>
        <v>0.00136476562573696</v>
      </c>
      <c r="E12" s="2" t="n">
        <f aca="false">D12/30</f>
        <v>4.54921875245654E-005</v>
      </c>
    </row>
    <row r="13" customFormat="false" ht="12.8" hidden="false" customHeight="false" outlineLevel="0" collapsed="false">
      <c r="A13" s="0" t="n">
        <v>11</v>
      </c>
      <c r="B13" s="1" t="n">
        <v>18.4168595743523</v>
      </c>
      <c r="C13" s="1" t="n">
        <f aca="false">B13-$B$33</f>
        <v>-1.97545653140562</v>
      </c>
      <c r="D13" s="1" t="n">
        <f aca="false">C13*C13</f>
        <v>3.90242850747313</v>
      </c>
      <c r="E13" s="2" t="n">
        <f aca="false">D13/30</f>
        <v>0.130080950249105</v>
      </c>
    </row>
    <row r="14" customFormat="false" ht="12.8" hidden="false" customHeight="false" outlineLevel="0" collapsed="false">
      <c r="A14" s="0" t="n">
        <v>12</v>
      </c>
      <c r="B14" s="1" t="n">
        <v>19.0484212552037</v>
      </c>
      <c r="C14" s="1" t="n">
        <f aca="false">B14-$B$33</f>
        <v>-1.34389485055422</v>
      </c>
      <c r="D14" s="1" t="n">
        <f aca="false">C14*C14</f>
        <v>1.80605336934615</v>
      </c>
      <c r="E14" s="2" t="n">
        <f aca="false">D14/30</f>
        <v>0.0602017789782051</v>
      </c>
    </row>
    <row r="15" customFormat="false" ht="12.8" hidden="false" customHeight="false" outlineLevel="0" collapsed="false">
      <c r="A15" s="0" t="n">
        <v>13</v>
      </c>
      <c r="B15" s="1" t="n">
        <v>22.1762774826689</v>
      </c>
      <c r="C15" s="1" t="n">
        <f aca="false">B15-$B$33</f>
        <v>1.78396137691096</v>
      </c>
      <c r="D15" s="1" t="n">
        <f aca="false">C15*C15</f>
        <v>3.18251819431003</v>
      </c>
      <c r="E15" s="2" t="n">
        <f aca="false">D15/30</f>
        <v>0.106083939810334</v>
      </c>
    </row>
    <row r="16" customFormat="false" ht="12.8" hidden="false" customHeight="false" outlineLevel="0" collapsed="false">
      <c r="A16" s="0" t="n">
        <v>14</v>
      </c>
      <c r="B16" s="1" t="n">
        <v>22.6580421691103</v>
      </c>
      <c r="C16" s="1" t="n">
        <f aca="false">B16-$B$33</f>
        <v>2.26572606335243</v>
      </c>
      <c r="D16" s="1" t="n">
        <f aca="false">C16*C16</f>
        <v>5.13351459415449</v>
      </c>
      <c r="E16" s="2" t="n">
        <f aca="false">D16/30</f>
        <v>0.171117153138483</v>
      </c>
    </row>
    <row r="17" customFormat="false" ht="12.8" hidden="false" customHeight="false" outlineLevel="0" collapsed="false">
      <c r="A17" s="0" t="n">
        <v>15</v>
      </c>
      <c r="B17" s="1" t="n">
        <v>21.314733457014</v>
      </c>
      <c r="C17" s="1" t="n">
        <f aca="false">B17-$B$33</f>
        <v>0.922417351256097</v>
      </c>
      <c r="D17" s="1" t="n">
        <f aca="false">C17*C17</f>
        <v>0.850853769898314</v>
      </c>
      <c r="E17" s="2" t="n">
        <f aca="false">D17/30</f>
        <v>0.0283617923299438</v>
      </c>
    </row>
    <row r="18" customFormat="false" ht="12.8" hidden="false" customHeight="false" outlineLevel="0" collapsed="false">
      <c r="A18" s="0" t="n">
        <v>16</v>
      </c>
      <c r="B18" s="1" t="n">
        <v>19.9536133481721</v>
      </c>
      <c r="C18" s="1" t="n">
        <f aca="false">B18-$B$33</f>
        <v>-0.43870275758584</v>
      </c>
      <c r="D18" s="1" t="n">
        <f aca="false">C18*C18</f>
        <v>0.192460109513421</v>
      </c>
      <c r="E18" s="2" t="n">
        <f aca="false">D18/30</f>
        <v>0.00641533698378069</v>
      </c>
    </row>
    <row r="19" customFormat="false" ht="12.8" hidden="false" customHeight="false" outlineLevel="0" collapsed="false">
      <c r="A19" s="0" t="n">
        <v>17</v>
      </c>
      <c r="B19" s="1" t="n">
        <v>19.4953184593225</v>
      </c>
      <c r="C19" s="1" t="n">
        <f aca="false">B19-$B$33</f>
        <v>-0.896997646435381</v>
      </c>
      <c r="D19" s="1" t="n">
        <f aca="false">C19*C19</f>
        <v>0.804604777710612</v>
      </c>
      <c r="E19" s="2" t="n">
        <f aca="false">D19/30</f>
        <v>0.0268201592570204</v>
      </c>
    </row>
    <row r="20" customFormat="false" ht="12.8" hidden="false" customHeight="false" outlineLevel="0" collapsed="false">
      <c r="A20" s="0" t="n">
        <v>18</v>
      </c>
      <c r="B20" s="1" t="n">
        <v>20.0773819269628</v>
      </c>
      <c r="C20" s="1" t="n">
        <f aca="false">B20-$B$33</f>
        <v>-0.314934178795085</v>
      </c>
      <c r="D20" s="1" t="n">
        <f aca="false">C20*C20</f>
        <v>0.0991835369733343</v>
      </c>
      <c r="E20" s="2" t="n">
        <f aca="false">D20/30</f>
        <v>0.00330611789911114</v>
      </c>
    </row>
    <row r="21" customFormat="false" ht="12.8" hidden="false" customHeight="false" outlineLevel="0" collapsed="false">
      <c r="A21" s="0" t="n">
        <v>19</v>
      </c>
      <c r="B21" s="1" t="n">
        <v>19.5871120242056</v>
      </c>
      <c r="C21" s="1" t="n">
        <f aca="false">B21-$B$33</f>
        <v>-0.80520408155229</v>
      </c>
      <c r="D21" s="1" t="n">
        <f aca="false">C21*C21</f>
        <v>0.648353612948467</v>
      </c>
      <c r="E21" s="2" t="n">
        <f aca="false">D21/30</f>
        <v>0.0216117870982822</v>
      </c>
    </row>
    <row r="22" customFormat="false" ht="12.8" hidden="false" customHeight="false" outlineLevel="0" collapsed="false">
      <c r="A22" s="0" t="n">
        <v>20</v>
      </c>
      <c r="B22" s="1" t="n">
        <v>20.8537470680229</v>
      </c>
      <c r="C22" s="1" t="n">
        <f aca="false">B22-$B$33</f>
        <v>0.461430962264977</v>
      </c>
      <c r="D22" s="1" t="n">
        <f aca="false">C22*C22</f>
        <v>0.212918532936783</v>
      </c>
      <c r="E22" s="2" t="n">
        <f aca="false">D22/30</f>
        <v>0.00709728443122609</v>
      </c>
    </row>
    <row r="23" customFormat="false" ht="12.8" hidden="false" customHeight="false" outlineLevel="0" collapsed="false">
      <c r="A23" s="0" t="n">
        <v>21</v>
      </c>
      <c r="B23" s="1" t="n">
        <v>22.4973189496344</v>
      </c>
      <c r="C23" s="1" t="n">
        <f aca="false">B23-$B$33</f>
        <v>2.10500284387647</v>
      </c>
      <c r="D23" s="1" t="n">
        <f aca="false">C23*C23</f>
        <v>4.43103697272804</v>
      </c>
      <c r="E23" s="2" t="n">
        <f aca="false">D23/30</f>
        <v>0.147701232424268</v>
      </c>
    </row>
    <row r="24" customFormat="false" ht="12.8" hidden="false" customHeight="false" outlineLevel="0" collapsed="false">
      <c r="A24" s="0" t="n">
        <v>22</v>
      </c>
      <c r="B24" s="1" t="n">
        <v>20.3203497933655</v>
      </c>
      <c r="C24" s="1" t="n">
        <f aca="false">B24-$B$33</f>
        <v>-0.0719663123924086</v>
      </c>
      <c r="D24" s="1" t="n">
        <f aca="false">C24*C24</f>
        <v>0.00517915011936174</v>
      </c>
      <c r="E24" s="2" t="n">
        <f aca="false">D24/30</f>
        <v>0.000172638337312058</v>
      </c>
    </row>
    <row r="25" customFormat="false" ht="12.8" hidden="false" customHeight="false" outlineLevel="0" collapsed="false">
      <c r="A25" s="0" t="n">
        <v>23</v>
      </c>
      <c r="B25" s="1" t="n">
        <v>17.7302592022353</v>
      </c>
      <c r="C25" s="1" t="n">
        <f aca="false">B25-$B$33</f>
        <v>-2.66205690352259</v>
      </c>
      <c r="D25" s="1" t="n">
        <f aca="false">C25*C25</f>
        <v>7.08654695759228</v>
      </c>
      <c r="E25" s="2" t="n">
        <f aca="false">D25/30</f>
        <v>0.236218231919743</v>
      </c>
    </row>
    <row r="26" customFormat="false" ht="12.8" hidden="false" customHeight="false" outlineLevel="0" collapsed="false">
      <c r="A26" s="0" t="n">
        <v>24</v>
      </c>
      <c r="B26" s="1" t="n">
        <v>23.245052889532</v>
      </c>
      <c r="C26" s="1" t="n">
        <f aca="false">B26-$B$33</f>
        <v>2.85273678377408</v>
      </c>
      <c r="D26" s="1" t="n">
        <f aca="false">C26*C26</f>
        <v>8.13810715749766</v>
      </c>
      <c r="E26" s="2" t="n">
        <f aca="false">D26/30</f>
        <v>0.271270238583255</v>
      </c>
    </row>
    <row r="27" customFormat="false" ht="12.8" hidden="false" customHeight="false" outlineLevel="0" collapsed="false">
      <c r="A27" s="0" t="n">
        <v>25</v>
      </c>
      <c r="B27" s="1" t="n">
        <v>21.9134891823274</v>
      </c>
      <c r="C27" s="1" t="n">
        <f aca="false">B27-$B$33</f>
        <v>1.52117307656949</v>
      </c>
      <c r="D27" s="1" t="n">
        <f aca="false">C27*C27</f>
        <v>2.31396752887989</v>
      </c>
      <c r="E27" s="2" t="n">
        <f aca="false">D27/30</f>
        <v>0.0771322509626629</v>
      </c>
    </row>
    <row r="28" customFormat="false" ht="12.8" hidden="false" customHeight="false" outlineLevel="0" collapsed="false">
      <c r="A28" s="0" t="n">
        <v>26</v>
      </c>
      <c r="B28" s="1" t="n">
        <v>21.1890299523203</v>
      </c>
      <c r="C28" s="1" t="n">
        <f aca="false">B28-$B$33</f>
        <v>0.796713846562369</v>
      </c>
      <c r="D28" s="1" t="n">
        <f aca="false">C28*C28</f>
        <v>0.634752953304206</v>
      </c>
      <c r="E28" s="2" t="n">
        <f aca="false">D28/30</f>
        <v>0.0211584317768069</v>
      </c>
    </row>
    <row r="29" customFormat="false" ht="12.8" hidden="false" customHeight="false" outlineLevel="0" collapsed="false">
      <c r="A29" s="0" t="n">
        <v>27</v>
      </c>
      <c r="B29" s="1" t="n">
        <v>19.7054325991513</v>
      </c>
      <c r="C29" s="1" t="n">
        <f aca="false">B29-$B$33</f>
        <v>-0.686883506606645</v>
      </c>
      <c r="D29" s="1" t="n">
        <f aca="false">C29*C29</f>
        <v>0.47180895164824</v>
      </c>
      <c r="E29" s="2" t="n">
        <f aca="false">D29/30</f>
        <v>0.0157269650549413</v>
      </c>
    </row>
    <row r="30" customFormat="false" ht="12.8" hidden="false" customHeight="false" outlineLevel="0" collapsed="false">
      <c r="A30" s="0" t="n">
        <v>28</v>
      </c>
      <c r="B30" s="1" t="n">
        <v>18.7582008029456</v>
      </c>
      <c r="C30" s="1" t="n">
        <f aca="false">B30-$B$33</f>
        <v>-1.63411530281231</v>
      </c>
      <c r="D30" s="1" t="n">
        <f aca="false">C30*C30</f>
        <v>2.67033282288537</v>
      </c>
      <c r="E30" s="2" t="n">
        <f aca="false">D30/30</f>
        <v>0.0890110940961791</v>
      </c>
    </row>
    <row r="31" customFormat="false" ht="12.8" hidden="false" customHeight="false" outlineLevel="0" collapsed="false">
      <c r="A31" s="0" t="n">
        <v>29</v>
      </c>
      <c r="B31" s="1" t="n">
        <v>18.7903916463014</v>
      </c>
      <c r="C31" s="1" t="n">
        <f aca="false">B31-$B$33</f>
        <v>-1.60192445945656</v>
      </c>
      <c r="D31" s="1" t="n">
        <f aca="false">C31*C31</f>
        <v>2.56616197380518</v>
      </c>
      <c r="E31" s="2" t="n">
        <f aca="false">D31/30</f>
        <v>0.0855387324601725</v>
      </c>
    </row>
    <row r="32" customFormat="false" ht="12.8" hidden="false" customHeight="false" outlineLevel="0" collapsed="false">
      <c r="A32" s="0" t="s">
        <v>5</v>
      </c>
      <c r="B32" s="1" t="n">
        <f aca="false">SUM(B2:B31)</f>
        <v>611.769483172737</v>
      </c>
      <c r="E32" s="1" t="n">
        <f aca="false">SUM(E2:E31)</f>
        <v>2.88376111742991</v>
      </c>
    </row>
    <row r="33" customFormat="false" ht="12.8" hidden="false" customHeight="false" outlineLevel="0" collapsed="false">
      <c r="A33" s="0" t="s">
        <v>6</v>
      </c>
      <c r="B33" s="1" t="n">
        <f aca="false">B32/30</f>
        <v>20.3923161057579</v>
      </c>
      <c r="D33" s="0" t="s">
        <v>7</v>
      </c>
      <c r="E33" s="1" t="n">
        <f aca="false">SQRT(E32)</f>
        <v>1.6981640431448</v>
      </c>
    </row>
    <row r="39" customFormat="false" ht="12.8" hidden="false" customHeight="false" outlineLevel="0" collapsed="false">
      <c r="B39" s="2" t="n">
        <f aca="false">AVERAGE(B2:B31)</f>
        <v>20.3923161057579</v>
      </c>
    </row>
    <row r="40" customFormat="false" ht="12.8" hidden="false" customHeight="false" outlineLevel="0" collapsed="false">
      <c r="B40" s="2" t="n">
        <f aca="false">STDEV(B2:B31)</f>
        <v>1.72719459122647</v>
      </c>
    </row>
    <row r="41" customFormat="false" ht="12.8" hidden="false" customHeight="false" outlineLevel="0" collapsed="false">
      <c r="B41" s="3" t="n">
        <f aca="false">MEDIAN(B2:B31)</f>
        <v>20.1988658601642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6.7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2" t="n">
        <v>17.3727916032022</v>
      </c>
      <c r="C2" s="2"/>
      <c r="D2" s="2"/>
      <c r="E2" s="2"/>
    </row>
    <row r="3" customFormat="false" ht="12.8" hidden="false" customHeight="false" outlineLevel="0" collapsed="false">
      <c r="A3" s="0" t="n">
        <v>2</v>
      </c>
      <c r="B3" s="2" t="n">
        <v>17.7302592022353</v>
      </c>
      <c r="C3" s="2"/>
      <c r="D3" s="2"/>
      <c r="E3" s="2"/>
    </row>
    <row r="4" customFormat="false" ht="12.8" hidden="false" customHeight="false" outlineLevel="0" collapsed="false">
      <c r="A4" s="0" t="n">
        <v>3</v>
      </c>
      <c r="B4" s="2" t="n">
        <v>18.2526076780458</v>
      </c>
      <c r="C4" s="2"/>
      <c r="D4" s="2"/>
      <c r="E4" s="2"/>
    </row>
    <row r="5" customFormat="false" ht="12.8" hidden="false" customHeight="false" outlineLevel="0" collapsed="false">
      <c r="A5" s="0" t="n">
        <v>4</v>
      </c>
      <c r="B5" s="2" t="n">
        <v>18.2843989309581</v>
      </c>
      <c r="C5" s="2"/>
      <c r="D5" s="2"/>
      <c r="E5" s="2"/>
    </row>
    <row r="6" customFormat="false" ht="12.8" hidden="false" customHeight="false" outlineLevel="0" collapsed="false">
      <c r="A6" s="0" t="n">
        <v>5</v>
      </c>
      <c r="B6" s="2" t="n">
        <v>18.4168595743523</v>
      </c>
      <c r="C6" s="2"/>
      <c r="D6" s="2"/>
      <c r="E6" s="2"/>
    </row>
    <row r="7" customFormat="false" ht="12.8" hidden="false" customHeight="false" outlineLevel="0" collapsed="false">
      <c r="A7" s="0" t="n">
        <v>6</v>
      </c>
      <c r="B7" s="2" t="n">
        <v>18.7582008029456</v>
      </c>
      <c r="C7" s="2"/>
      <c r="D7" s="2"/>
      <c r="E7" s="2"/>
    </row>
    <row r="8" customFormat="false" ht="12.8" hidden="false" customHeight="false" outlineLevel="0" collapsed="false">
      <c r="A8" s="0" t="n">
        <v>7</v>
      </c>
      <c r="B8" s="2" t="n">
        <v>18.7903916463014</v>
      </c>
      <c r="C8" s="2"/>
      <c r="D8" s="2"/>
      <c r="E8" s="2"/>
    </row>
    <row r="9" customFormat="false" ht="12.8" hidden="false" customHeight="false" outlineLevel="0" collapsed="false">
      <c r="A9" s="0" t="n">
        <v>8</v>
      </c>
      <c r="B9" s="2" t="n">
        <v>19.0484212552037</v>
      </c>
      <c r="C9" s="2"/>
      <c r="D9" s="2"/>
      <c r="E9" s="2"/>
    </row>
    <row r="10" customFormat="false" ht="12.8" hidden="false" customHeight="false" outlineLevel="0" collapsed="false">
      <c r="A10" s="0" t="n">
        <v>9</v>
      </c>
      <c r="B10" s="2" t="n">
        <v>19.3971276761549</v>
      </c>
      <c r="C10" s="2"/>
      <c r="D10" s="2"/>
      <c r="E10" s="2"/>
    </row>
    <row r="11" customFormat="false" ht="12.8" hidden="false" customHeight="false" outlineLevel="0" collapsed="false">
      <c r="A11" s="0" t="n">
        <v>10</v>
      </c>
      <c r="B11" s="2" t="n">
        <v>19.4953184593225</v>
      </c>
      <c r="C11" s="2"/>
      <c r="D11" s="2"/>
      <c r="E11" s="2"/>
    </row>
    <row r="12" customFormat="false" ht="12.8" hidden="false" customHeight="false" outlineLevel="0" collapsed="false">
      <c r="A12" s="0" t="n">
        <v>11</v>
      </c>
      <c r="B12" s="2" t="n">
        <v>19.5871120242056</v>
      </c>
      <c r="C12" s="2"/>
      <c r="D12" s="2"/>
      <c r="E12" s="2"/>
    </row>
    <row r="13" customFormat="false" ht="12.8" hidden="false" customHeight="false" outlineLevel="0" collapsed="false">
      <c r="A13" s="0" t="n">
        <v>12</v>
      </c>
      <c r="B13" s="2" t="n">
        <v>19.7054325991513</v>
      </c>
      <c r="C13" s="2"/>
      <c r="D13" s="2"/>
      <c r="E13" s="2"/>
    </row>
    <row r="14" customFormat="false" ht="12.8" hidden="false" customHeight="false" outlineLevel="0" collapsed="false">
      <c r="A14" s="0" t="n">
        <v>13</v>
      </c>
      <c r="B14" s="2" t="n">
        <v>19.7546715517364</v>
      </c>
      <c r="C14" s="2"/>
      <c r="D14" s="2"/>
      <c r="E14" s="2"/>
    </row>
    <row r="15" customFormat="false" ht="12.8" hidden="false" customHeight="false" outlineLevel="0" collapsed="false">
      <c r="A15" s="0" t="n">
        <v>14</v>
      </c>
      <c r="B15" s="2" t="n">
        <v>19.9536133481721</v>
      </c>
      <c r="C15" s="2"/>
      <c r="D15" s="2"/>
      <c r="E15" s="2"/>
    </row>
    <row r="16" customFormat="false" ht="12.8" hidden="false" customHeight="false" outlineLevel="0" collapsed="false">
      <c r="A16" s="4" t="n">
        <v>15</v>
      </c>
      <c r="B16" s="3" t="n">
        <v>20.0773819269628</v>
      </c>
      <c r="C16" s="2"/>
      <c r="D16" s="2" t="s">
        <v>8</v>
      </c>
      <c r="E16" s="2" t="n">
        <f aca="false">(B16+B17)/2</f>
        <v>20.1988658601642</v>
      </c>
    </row>
    <row r="17" customFormat="false" ht="12.8" hidden="false" customHeight="false" outlineLevel="0" collapsed="false">
      <c r="A17" s="4" t="n">
        <v>16</v>
      </c>
      <c r="B17" s="3" t="n">
        <v>20.3203497933655</v>
      </c>
      <c r="C17" s="2"/>
      <c r="D17" s="2"/>
      <c r="E17" s="2"/>
    </row>
    <row r="18" customFormat="false" ht="12.8" hidden="false" customHeight="false" outlineLevel="0" collapsed="false">
      <c r="A18" s="0" t="n">
        <v>17</v>
      </c>
      <c r="B18" s="2" t="n">
        <v>20.4292588401686</v>
      </c>
      <c r="C18" s="2"/>
      <c r="D18" s="2"/>
      <c r="E18" s="2"/>
    </row>
    <row r="19" customFormat="false" ht="12.8" hidden="false" customHeight="false" outlineLevel="0" collapsed="false">
      <c r="A19" s="0" t="n">
        <v>18</v>
      </c>
      <c r="B19" s="2" t="n">
        <v>20.7791001898015</v>
      </c>
      <c r="C19" s="2"/>
      <c r="D19" s="2"/>
      <c r="E19" s="2"/>
    </row>
    <row r="20" customFormat="false" ht="12.8" hidden="false" customHeight="false" outlineLevel="0" collapsed="false">
      <c r="A20" s="0" t="n">
        <v>19</v>
      </c>
      <c r="B20" s="2" t="n">
        <v>20.8537470680229</v>
      </c>
      <c r="C20" s="2"/>
      <c r="D20" s="2"/>
      <c r="E20" s="2"/>
    </row>
    <row r="21" customFormat="false" ht="12.8" hidden="false" customHeight="false" outlineLevel="0" collapsed="false">
      <c r="A21" s="0" t="n">
        <v>20</v>
      </c>
      <c r="B21" s="2" t="n">
        <v>21.1890299523203</v>
      </c>
      <c r="C21" s="2"/>
      <c r="D21" s="2"/>
      <c r="E21" s="2"/>
    </row>
    <row r="22" customFormat="false" ht="12.8" hidden="false" customHeight="false" outlineLevel="0" collapsed="false">
      <c r="A22" s="0" t="n">
        <v>21</v>
      </c>
      <c r="B22" s="2" t="n">
        <v>21.195854415671</v>
      </c>
      <c r="C22" s="2"/>
      <c r="D22" s="2"/>
      <c r="E22" s="2"/>
    </row>
    <row r="23" customFormat="false" ht="12.8" hidden="false" customHeight="false" outlineLevel="0" collapsed="false">
      <c r="A23" s="0" t="n">
        <v>22</v>
      </c>
      <c r="B23" s="2" t="n">
        <v>21.314733457014</v>
      </c>
      <c r="C23" s="2"/>
      <c r="D23" s="2"/>
      <c r="E23" s="2"/>
    </row>
    <row r="24" customFormat="false" ht="12.8" hidden="false" customHeight="false" outlineLevel="0" collapsed="false">
      <c r="A24" s="0" t="n">
        <v>23</v>
      </c>
      <c r="B24" s="2" t="n">
        <v>21.6574433820916</v>
      </c>
      <c r="C24" s="2"/>
      <c r="D24" s="2"/>
      <c r="E24" s="2"/>
    </row>
    <row r="25" customFormat="false" ht="12.8" hidden="false" customHeight="false" outlineLevel="0" collapsed="false">
      <c r="A25" s="0" t="n">
        <v>24</v>
      </c>
      <c r="B25" s="2" t="n">
        <v>21.9134891823274</v>
      </c>
      <c r="C25" s="2"/>
      <c r="D25" s="2"/>
      <c r="E25" s="2"/>
    </row>
    <row r="26" customFormat="false" ht="12.8" hidden="false" customHeight="false" outlineLevel="0" collapsed="false">
      <c r="A26" s="0" t="n">
        <v>25</v>
      </c>
      <c r="B26" s="2" t="n">
        <v>22.1762774826689</v>
      </c>
      <c r="C26" s="2"/>
      <c r="D26" s="2"/>
      <c r="E26" s="2"/>
    </row>
    <row r="27" customFormat="false" ht="12.8" hidden="false" customHeight="false" outlineLevel="0" collapsed="false">
      <c r="A27" s="0" t="n">
        <v>26</v>
      </c>
      <c r="B27" s="2" t="n">
        <v>22.4973189496344</v>
      </c>
      <c r="C27" s="2"/>
      <c r="D27" s="2"/>
      <c r="E27" s="2"/>
    </row>
    <row r="28" customFormat="false" ht="12.8" hidden="false" customHeight="false" outlineLevel="0" collapsed="false">
      <c r="A28" s="0" t="n">
        <v>27</v>
      </c>
      <c r="B28" s="2" t="n">
        <v>22.6580421691103</v>
      </c>
      <c r="C28" s="2"/>
      <c r="D28" s="2"/>
      <c r="E28" s="2"/>
    </row>
    <row r="29" customFormat="false" ht="12.8" hidden="false" customHeight="false" outlineLevel="0" collapsed="false">
      <c r="A29" s="0" t="n">
        <v>28</v>
      </c>
      <c r="B29" s="2" t="n">
        <v>22.8933452166876</v>
      </c>
      <c r="C29" s="2"/>
      <c r="D29" s="2"/>
      <c r="E29" s="2"/>
    </row>
    <row r="30" customFormat="false" ht="12.8" hidden="false" customHeight="false" outlineLevel="0" collapsed="false">
      <c r="A30" s="0" t="n">
        <v>29</v>
      </c>
      <c r="B30" s="2" t="n">
        <v>23.245052889532</v>
      </c>
      <c r="C30" s="2"/>
      <c r="D30" s="2"/>
      <c r="E30" s="2"/>
    </row>
    <row r="31" customFormat="false" ht="12.8" hidden="false" customHeight="false" outlineLevel="0" collapsed="false">
      <c r="A31" s="0" t="n">
        <v>30</v>
      </c>
      <c r="B31" s="0" t="n">
        <v>24.0218519053715</v>
      </c>
    </row>
    <row r="32" customFormat="false" ht="12.8" hidden="false" customHeight="false" outlineLevel="0" collapsed="false">
      <c r="B32" s="2"/>
    </row>
    <row r="33" customFormat="false" ht="12.8" hidden="false" customHeight="false" outlineLevel="0" collapsed="false">
      <c r="B33" s="2"/>
    </row>
    <row r="34" customFormat="false" ht="12.8" hidden="false" customHeight="false" outlineLevel="0" collapsed="false">
      <c r="B3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9</v>
      </c>
      <c r="E1" s="0" t="s">
        <v>10</v>
      </c>
    </row>
    <row r="2" customFormat="false" ht="12.8" hidden="false" customHeight="false" outlineLevel="0" collapsed="false">
      <c r="A2" s="0" t="n">
        <v>0</v>
      </c>
      <c r="B2" s="1" t="n">
        <v>17.3727916032022</v>
      </c>
      <c r="C2" s="1"/>
      <c r="D2" s="0" t="n">
        <v>16</v>
      </c>
      <c r="E2" s="0" t="n">
        <f aca="false" t="array" ref="E2:E10">FREQUENCY(B2:B31,F2:F9)</f>
        <v>0</v>
      </c>
      <c r="F2" s="0" t="n">
        <v>17</v>
      </c>
    </row>
    <row r="3" customFormat="false" ht="12.8" hidden="false" customHeight="false" outlineLevel="0" collapsed="false">
      <c r="A3" s="0" t="n">
        <v>23</v>
      </c>
      <c r="B3" s="1" t="n">
        <v>17.7302592022353</v>
      </c>
      <c r="C3" s="1"/>
      <c r="D3" s="0" t="n">
        <v>17</v>
      </c>
      <c r="E3" s="0" t="n">
        <v>2</v>
      </c>
      <c r="F3" s="0" t="n">
        <v>18</v>
      </c>
    </row>
    <row r="4" customFormat="false" ht="12.8" hidden="false" customHeight="false" outlineLevel="0" collapsed="false">
      <c r="A4" s="0" t="n">
        <v>4</v>
      </c>
      <c r="B4" s="1" t="n">
        <v>18.2526076780458</v>
      </c>
      <c r="C4" s="1"/>
      <c r="D4" s="0" t="n">
        <v>18</v>
      </c>
      <c r="E4" s="0" t="n">
        <v>5</v>
      </c>
      <c r="F4" s="0" t="n">
        <v>19</v>
      </c>
    </row>
    <row r="5" customFormat="false" ht="12.8" hidden="false" customHeight="false" outlineLevel="0" collapsed="false">
      <c r="A5" s="0" t="n">
        <v>9</v>
      </c>
      <c r="B5" s="1" t="n">
        <v>18.2843989309581</v>
      </c>
      <c r="C5" s="1"/>
      <c r="D5" s="0" t="n">
        <v>19</v>
      </c>
      <c r="E5" s="0" t="n">
        <v>7</v>
      </c>
      <c r="F5" s="0" t="n">
        <v>20</v>
      </c>
    </row>
    <row r="6" customFormat="false" ht="12.8" hidden="false" customHeight="false" outlineLevel="0" collapsed="false">
      <c r="A6" s="0" t="n">
        <v>11</v>
      </c>
      <c r="B6" s="1" t="n">
        <v>18.4168595743523</v>
      </c>
      <c r="C6" s="1"/>
      <c r="D6" s="0" t="n">
        <v>20</v>
      </c>
      <c r="E6" s="0" t="n">
        <v>5</v>
      </c>
      <c r="F6" s="0" t="n">
        <v>21</v>
      </c>
    </row>
    <row r="7" customFormat="false" ht="12.8" hidden="false" customHeight="false" outlineLevel="0" collapsed="false">
      <c r="A7" s="0" t="n">
        <v>28</v>
      </c>
      <c r="B7" s="1" t="n">
        <v>18.7582008029456</v>
      </c>
      <c r="C7" s="1"/>
      <c r="D7" s="0" t="n">
        <v>21</v>
      </c>
      <c r="E7" s="0" t="n">
        <v>5</v>
      </c>
      <c r="F7" s="0" t="n">
        <v>22</v>
      </c>
    </row>
    <row r="8" customFormat="false" ht="12.8" hidden="false" customHeight="false" outlineLevel="0" collapsed="false">
      <c r="A8" s="0" t="n">
        <v>29</v>
      </c>
      <c r="B8" s="1" t="n">
        <v>18.7903916463014</v>
      </c>
      <c r="C8" s="1"/>
      <c r="D8" s="0" t="n">
        <v>22</v>
      </c>
      <c r="E8" s="0" t="n">
        <v>4</v>
      </c>
      <c r="F8" s="0" t="n">
        <v>23</v>
      </c>
    </row>
    <row r="9" customFormat="false" ht="12.8" hidden="false" customHeight="false" outlineLevel="0" collapsed="false">
      <c r="A9" s="0" t="n">
        <v>12</v>
      </c>
      <c r="B9" s="1" t="n">
        <v>19.0484212552037</v>
      </c>
      <c r="C9" s="1"/>
      <c r="D9" s="0" t="n">
        <v>23</v>
      </c>
      <c r="E9" s="0" t="n">
        <v>1</v>
      </c>
      <c r="F9" s="0" t="n">
        <v>24</v>
      </c>
    </row>
    <row r="10" customFormat="false" ht="12.8" hidden="false" customHeight="false" outlineLevel="0" collapsed="false">
      <c r="A10" s="0" t="n">
        <v>8</v>
      </c>
      <c r="B10" s="1" t="n">
        <v>19.3971276761549</v>
      </c>
      <c r="C10" s="1"/>
      <c r="D10" s="0" t="n">
        <v>24</v>
      </c>
      <c r="E10" s="0" t="n">
        <v>1</v>
      </c>
    </row>
    <row r="11" customFormat="false" ht="12.8" hidden="false" customHeight="false" outlineLevel="0" collapsed="false">
      <c r="A11" s="0" t="n">
        <v>17</v>
      </c>
      <c r="B11" s="1" t="n">
        <v>19.4953184593225</v>
      </c>
      <c r="C11" s="1"/>
    </row>
    <row r="12" customFormat="false" ht="12.8" hidden="false" customHeight="false" outlineLevel="0" collapsed="false">
      <c r="A12" s="0" t="n">
        <v>19</v>
      </c>
      <c r="B12" s="1" t="n">
        <v>19.5871120242056</v>
      </c>
      <c r="C12" s="1"/>
    </row>
    <row r="13" customFormat="false" ht="12.8" hidden="false" customHeight="false" outlineLevel="0" collapsed="false">
      <c r="A13" s="0" t="n">
        <v>27</v>
      </c>
      <c r="B13" s="1" t="n">
        <v>19.7054325991513</v>
      </c>
      <c r="C13" s="1"/>
    </row>
    <row r="14" customFormat="false" ht="12.8" hidden="false" customHeight="false" outlineLevel="0" collapsed="false">
      <c r="A14" s="0" t="n">
        <v>5</v>
      </c>
      <c r="B14" s="1" t="n">
        <v>19.7546715517364</v>
      </c>
      <c r="C14" s="1"/>
    </row>
    <row r="15" customFormat="false" ht="12.8" hidden="false" customHeight="false" outlineLevel="0" collapsed="false">
      <c r="A15" s="0" t="n">
        <v>16</v>
      </c>
      <c r="B15" s="1" t="n">
        <v>19.9536133481721</v>
      </c>
      <c r="C15" s="1"/>
    </row>
    <row r="16" customFormat="false" ht="12.8" hidden="false" customHeight="false" outlineLevel="0" collapsed="false">
      <c r="A16" s="0" t="n">
        <v>18</v>
      </c>
      <c r="B16" s="1" t="n">
        <v>20.0773819269628</v>
      </c>
      <c r="C16" s="1"/>
    </row>
    <row r="17" customFormat="false" ht="12.8" hidden="false" customHeight="false" outlineLevel="0" collapsed="false">
      <c r="A17" s="0" t="n">
        <v>22</v>
      </c>
      <c r="B17" s="1" t="n">
        <v>20.3203497933655</v>
      </c>
      <c r="C17" s="1"/>
    </row>
    <row r="18" customFormat="false" ht="12.8" hidden="false" customHeight="false" outlineLevel="0" collapsed="false">
      <c r="A18" s="0" t="n">
        <v>10</v>
      </c>
      <c r="B18" s="1" t="n">
        <v>20.4292588401686</v>
      </c>
      <c r="C18" s="1"/>
    </row>
    <row r="19" customFormat="false" ht="12.8" hidden="false" customHeight="false" outlineLevel="0" collapsed="false">
      <c r="A19" s="0" t="n">
        <v>6</v>
      </c>
      <c r="B19" s="1" t="n">
        <v>20.7791001898015</v>
      </c>
      <c r="C19" s="1"/>
    </row>
    <row r="20" customFormat="false" ht="12.8" hidden="false" customHeight="false" outlineLevel="0" collapsed="false">
      <c r="A20" s="0" t="n">
        <v>20</v>
      </c>
      <c r="B20" s="1" t="n">
        <v>20.8537470680229</v>
      </c>
      <c r="C20" s="1"/>
    </row>
    <row r="21" customFormat="false" ht="12.8" hidden="false" customHeight="false" outlineLevel="0" collapsed="false">
      <c r="A21" s="0" t="n">
        <v>26</v>
      </c>
      <c r="B21" s="1" t="n">
        <v>21.1890299523203</v>
      </c>
      <c r="C21" s="1"/>
    </row>
    <row r="22" customFormat="false" ht="12.8" hidden="false" customHeight="false" outlineLevel="0" collapsed="false">
      <c r="A22" s="0" t="n">
        <v>7</v>
      </c>
      <c r="B22" s="1" t="n">
        <v>21.195854415671</v>
      </c>
      <c r="C22" s="1"/>
    </row>
    <row r="23" customFormat="false" ht="12.8" hidden="false" customHeight="false" outlineLevel="0" collapsed="false">
      <c r="A23" s="0" t="n">
        <v>15</v>
      </c>
      <c r="B23" s="1" t="n">
        <v>21.314733457014</v>
      </c>
      <c r="C23" s="1"/>
    </row>
    <row r="24" customFormat="false" ht="12.8" hidden="false" customHeight="false" outlineLevel="0" collapsed="false">
      <c r="A24" s="0" t="n">
        <v>2</v>
      </c>
      <c r="B24" s="1" t="n">
        <v>21.6574433820916</v>
      </c>
      <c r="C24" s="1"/>
    </row>
    <row r="25" customFormat="false" ht="12.8" hidden="false" customHeight="false" outlineLevel="0" collapsed="false">
      <c r="A25" s="0" t="n">
        <v>25</v>
      </c>
      <c r="B25" s="1" t="n">
        <v>21.9134891823274</v>
      </c>
      <c r="C25" s="1"/>
    </row>
    <row r="26" customFormat="false" ht="12.8" hidden="false" customHeight="false" outlineLevel="0" collapsed="false">
      <c r="A26" s="0" t="n">
        <v>13</v>
      </c>
      <c r="B26" s="1" t="n">
        <v>22.1762774826689</v>
      </c>
      <c r="C26" s="1"/>
    </row>
    <row r="27" customFormat="false" ht="12.8" hidden="false" customHeight="false" outlineLevel="0" collapsed="false">
      <c r="A27" s="0" t="n">
        <v>21</v>
      </c>
      <c r="B27" s="1" t="n">
        <v>22.4973189496344</v>
      </c>
      <c r="C27" s="1"/>
    </row>
    <row r="28" customFormat="false" ht="12.8" hidden="false" customHeight="false" outlineLevel="0" collapsed="false">
      <c r="A28" s="0" t="n">
        <v>14</v>
      </c>
      <c r="B28" s="1" t="n">
        <v>22.6580421691103</v>
      </c>
      <c r="C28" s="1"/>
    </row>
    <row r="29" customFormat="false" ht="12.8" hidden="false" customHeight="false" outlineLevel="0" collapsed="false">
      <c r="A29" s="0" t="n">
        <v>1</v>
      </c>
      <c r="B29" s="1" t="n">
        <v>22.8933452166876</v>
      </c>
      <c r="C29" s="1"/>
    </row>
    <row r="30" customFormat="false" ht="12.8" hidden="false" customHeight="false" outlineLevel="0" collapsed="false">
      <c r="A30" s="0" t="n">
        <v>24</v>
      </c>
      <c r="B30" s="1" t="n">
        <v>23.245052889532</v>
      </c>
      <c r="C30" s="1"/>
    </row>
    <row r="31" customFormat="false" ht="12.8" hidden="false" customHeight="false" outlineLevel="0" collapsed="false">
      <c r="A31" s="0" t="n">
        <v>3</v>
      </c>
      <c r="B31" s="1" t="n">
        <v>24.0218519053715</v>
      </c>
      <c r="C31" s="1"/>
    </row>
    <row r="32" customFormat="false" ht="12.8" hidden="false" customHeight="false" outlineLevel="0" collapsed="false">
      <c r="B32" s="1"/>
      <c r="C32" s="1"/>
    </row>
    <row r="33" customFormat="false" ht="12.8" hidden="false" customHeight="false" outlineLevel="0" collapsed="false">
      <c r="B33" s="1"/>
      <c r="C3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2022-04-25T20:30:13Z</dcterms:modified>
  <cp:revision>19</cp:revision>
  <dc:subject/>
  <dc:title/>
</cp:coreProperties>
</file>